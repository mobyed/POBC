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F:\【数据】\"/>
    </mc:Choice>
  </mc:AlternateContent>
  <xr:revisionPtr revIDLastSave="0" documentId="13_ncr:1_{EB0296EA-0C10-4EF0-855B-38755B0EAD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5" i="1" l="1"/>
  <c r="N74" i="1"/>
  <c r="N73" i="1"/>
  <c r="N72" i="1"/>
  <c r="N71" i="1"/>
  <c r="N70" i="1"/>
  <c r="N69" i="1"/>
  <c r="N68" i="1"/>
  <c r="N67" i="1"/>
  <c r="N63" i="1"/>
  <c r="N62" i="1"/>
  <c r="N61" i="1"/>
  <c r="N60" i="1"/>
  <c r="N59" i="1"/>
  <c r="N58" i="1"/>
  <c r="N57" i="1"/>
  <c r="N56" i="1"/>
  <c r="N55" i="1"/>
  <c r="I49" i="1"/>
  <c r="I37" i="1"/>
  <c r="I48" i="1"/>
  <c r="I36" i="1"/>
  <c r="I47" i="1"/>
  <c r="I35" i="1"/>
  <c r="I46" i="1"/>
  <c r="I34" i="1"/>
  <c r="I45" i="1"/>
  <c r="I33" i="1"/>
  <c r="I44" i="1"/>
  <c r="I32" i="1"/>
  <c r="I43" i="1"/>
  <c r="I31" i="1"/>
  <c r="I42" i="1"/>
  <c r="I30" i="1"/>
  <c r="I41" i="1"/>
  <c r="I29" i="1"/>
  <c r="N49" i="1"/>
  <c r="N48" i="1"/>
  <c r="D75" i="1"/>
  <c r="D74" i="1"/>
  <c r="D63" i="1"/>
  <c r="D62" i="1"/>
  <c r="N37" i="1"/>
  <c r="N36" i="1"/>
  <c r="N22" i="1"/>
  <c r="N23" i="1"/>
  <c r="N10" i="1"/>
  <c r="N11" i="1"/>
  <c r="D48" i="1"/>
  <c r="D49" i="1"/>
  <c r="D36" i="1"/>
  <c r="D37" i="1"/>
  <c r="I22" i="1"/>
  <c r="I23" i="1"/>
  <c r="I10" i="1"/>
  <c r="I11" i="1"/>
  <c r="D10" i="1"/>
  <c r="D11" i="1"/>
  <c r="D23" i="1"/>
  <c r="D22" i="1"/>
  <c r="N47" i="1"/>
  <c r="D73" i="1"/>
  <c r="D47" i="1"/>
  <c r="N46" i="1"/>
  <c r="D72" i="1"/>
  <c r="D46" i="1"/>
  <c r="N45" i="1"/>
  <c r="D71" i="1"/>
  <c r="D45" i="1"/>
  <c r="N44" i="1"/>
  <c r="D70" i="1"/>
  <c r="D44" i="1"/>
  <c r="N43" i="1"/>
  <c r="D69" i="1"/>
  <c r="D43" i="1"/>
  <c r="N42" i="1"/>
  <c r="D68" i="1"/>
  <c r="D42" i="1"/>
  <c r="N41" i="1"/>
  <c r="D67" i="1"/>
  <c r="D41" i="1"/>
  <c r="N35" i="1"/>
  <c r="D61" i="1"/>
  <c r="D35" i="1"/>
  <c r="N34" i="1"/>
  <c r="D60" i="1"/>
  <c r="D34" i="1"/>
  <c r="N33" i="1"/>
  <c r="D59" i="1"/>
  <c r="D33" i="1"/>
  <c r="N32" i="1"/>
  <c r="D58" i="1"/>
  <c r="D32" i="1"/>
  <c r="N31" i="1"/>
  <c r="D57" i="1"/>
  <c r="D31" i="1"/>
  <c r="N30" i="1"/>
  <c r="D56" i="1"/>
  <c r="D30" i="1"/>
  <c r="N29" i="1"/>
  <c r="D55" i="1"/>
  <c r="D29" i="1"/>
  <c r="N16" i="1"/>
  <c r="N17" i="1"/>
  <c r="N18" i="1"/>
  <c r="N19" i="1"/>
  <c r="N20" i="1"/>
  <c r="N21" i="1"/>
  <c r="N15" i="1"/>
  <c r="N4" i="1"/>
  <c r="N5" i="1"/>
  <c r="N6" i="1"/>
  <c r="N7" i="1"/>
  <c r="N8" i="1"/>
  <c r="N9" i="1"/>
  <c r="N3" i="1"/>
  <c r="I16" i="1"/>
  <c r="I17" i="1"/>
  <c r="I18" i="1"/>
  <c r="I19" i="1"/>
  <c r="I20" i="1"/>
  <c r="I21" i="1"/>
  <c r="I15" i="1"/>
  <c r="I4" i="1"/>
  <c r="I5" i="1"/>
  <c r="I6" i="1"/>
  <c r="I7" i="1"/>
  <c r="I8" i="1"/>
  <c r="I9" i="1"/>
  <c r="I3" i="1"/>
  <c r="D4" i="1"/>
  <c r="D5" i="1"/>
  <c r="D6" i="1"/>
  <c r="D7" i="1"/>
  <c r="D8" i="1"/>
  <c r="D9" i="1"/>
  <c r="D3" i="1"/>
  <c r="D16" i="1"/>
  <c r="D17" i="1"/>
  <c r="D18" i="1"/>
  <c r="D19" i="1"/>
  <c r="D20" i="1"/>
  <c r="D21" i="1"/>
  <c r="D15" i="1"/>
</calcChain>
</file>

<file path=xl/sharedStrings.xml><?xml version="1.0" encoding="utf-8"?>
<sst xmlns="http://schemas.openxmlformats.org/spreadsheetml/2006/main" count="208" uniqueCount="20">
  <si>
    <t>circuit</t>
    <phoneticPr fontId="2" type="noConversion"/>
  </si>
  <si>
    <t>Message / Bytes</t>
    <phoneticPr fontId="2" type="noConversion"/>
  </si>
  <si>
    <t>aes_obc</t>
    <phoneticPr fontId="2" type="noConversion"/>
  </si>
  <si>
    <t>运行1000次
平均时钟周期数</t>
    <phoneticPr fontId="2" type="noConversion"/>
  </si>
  <si>
    <t>aes_obc_siv</t>
    <phoneticPr fontId="2" type="noConversion"/>
  </si>
  <si>
    <t>aes_gcm_128</t>
    <phoneticPr fontId="2" type="noConversion"/>
  </si>
  <si>
    <t>aes_gcm_siv_128</t>
    <phoneticPr fontId="2" type="noConversion"/>
  </si>
  <si>
    <t>umbreon_forkskinny_64_192</t>
    <phoneticPr fontId="2" type="noConversion"/>
  </si>
  <si>
    <t>umbreon_forkskinny_128_256</t>
    <phoneticPr fontId="2" type="noConversion"/>
  </si>
  <si>
    <t>pmac_aes</t>
    <phoneticPr fontId="2" type="noConversion"/>
  </si>
  <si>
    <t>htmac_aes</t>
    <phoneticPr fontId="2" type="noConversion"/>
  </si>
  <si>
    <t>jolteon_forkskinny_64_192</t>
    <phoneticPr fontId="2" type="noConversion"/>
  </si>
  <si>
    <t>pmac_skinny</t>
    <phoneticPr fontId="2" type="noConversion"/>
  </si>
  <si>
    <t>htmac_skinny</t>
    <phoneticPr fontId="2" type="noConversion"/>
  </si>
  <si>
    <t>jolteon_forkskinny_128_256</t>
    <phoneticPr fontId="2" type="noConversion"/>
  </si>
  <si>
    <r>
      <rPr>
        <b/>
        <sz val="11"/>
        <color theme="1"/>
        <rFont val="等线"/>
        <family val="1"/>
        <charset val="134"/>
      </rPr>
      <t>处理每字节消息
所需的平均时钟周期数
（</t>
    </r>
    <r>
      <rPr>
        <b/>
        <sz val="11"/>
        <color theme="1"/>
        <rFont val="Times New Roman"/>
        <family val="1"/>
      </rPr>
      <t>avg. cycles per byte</t>
    </r>
    <r>
      <rPr>
        <b/>
        <sz val="11"/>
        <color theme="1"/>
        <rFont val="等线"/>
        <family val="1"/>
        <charset val="134"/>
      </rPr>
      <t>）</t>
    </r>
    <phoneticPr fontId="2" type="noConversion"/>
  </si>
  <si>
    <t>jolteon_aes_128</t>
    <phoneticPr fontId="2" type="noConversion"/>
  </si>
  <si>
    <t>espeon_aes_128</t>
    <phoneticPr fontId="2" type="noConversion"/>
  </si>
  <si>
    <t>espeon_forkskinny_128_256</t>
    <phoneticPr fontId="2" type="noConversion"/>
  </si>
  <si>
    <t>espeon_forkskinny_128_384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</si>
</sst>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b/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微软雅黑"/>
      <family val="1"/>
      <charset val="134"/>
    </font>
    <font>
      <b/>
      <sz val="11"/>
      <color theme="1"/>
      <name val="等线"/>
      <family val="1"/>
      <charset val="134"/>
    </font>
    <font>
      <b/>
      <sz val="11"/>
      <color theme="1"/>
      <name val="Times New Roman"/>
      <family val="1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101"/>
  <sheetViews>
    <sheetView tabSelected="1" workbookViewId="0"/>
  </sheetViews>
  <sheetFormatPr defaultRowHeight="15" x14ac:dyDescent="0.2"/>
  <cols>
    <col min="1" max="1" width="15.5" style="2" customWidth="1"/>
    <col min="2" max="2" width="14.375" style="2" customWidth="1"/>
    <col min="3" max="3" width="18.25" style="2" customWidth="1"/>
    <col min="4" max="4" width="20.875" style="2" customWidth="1"/>
    <col min="5" max="5" width="5.625" style="2" customWidth="1"/>
    <col min="6" max="6" width="16.875" style="2" customWidth="1"/>
    <col min="7" max="7" width="14.75" style="2" customWidth="1"/>
    <col min="8" max="8" width="18.25" style="2" customWidth="1"/>
    <col min="9" max="9" width="20.875" style="2" customWidth="1"/>
    <col min="10" max="10" width="5.625" style="2" customWidth="1"/>
    <col min="11" max="11" width="27.875" style="2" customWidth="1"/>
    <col min="12" max="12" width="15.125" style="2" customWidth="1"/>
    <col min="13" max="13" width="18.25" style="2" customWidth="1"/>
    <col min="14" max="14" width="20.875" style="2" customWidth="1"/>
    <col min="15" max="16384" width="9" style="2"/>
  </cols>
  <sheetData>
    <row r="2" spans="1:14" ht="42.75" x14ac:dyDescent="0.2">
      <c r="A2" s="1" t="s">
        <v>0</v>
      </c>
      <c r="B2" s="1" t="s">
        <v>1</v>
      </c>
      <c r="C2" s="4" t="s">
        <v>3</v>
      </c>
      <c r="D2" s="3" t="s">
        <v>15</v>
      </c>
      <c r="E2" s="1"/>
      <c r="F2" s="1" t="s">
        <v>0</v>
      </c>
      <c r="G2" s="1" t="s">
        <v>1</v>
      </c>
      <c r="H2" s="4" t="s">
        <v>3</v>
      </c>
      <c r="I2" s="3" t="s">
        <v>15</v>
      </c>
      <c r="K2" s="1" t="s">
        <v>0</v>
      </c>
      <c r="L2" s="1" t="s">
        <v>1</v>
      </c>
      <c r="M2" s="4" t="s">
        <v>3</v>
      </c>
      <c r="N2" s="3" t="s">
        <v>15</v>
      </c>
    </row>
    <row r="3" spans="1:14" x14ac:dyDescent="0.2">
      <c r="A3" s="1" t="s">
        <v>2</v>
      </c>
      <c r="B3" s="2">
        <v>8</v>
      </c>
      <c r="C3" s="2">
        <v>4087</v>
      </c>
      <c r="D3" s="2">
        <f>C3/B3</f>
        <v>510.875</v>
      </c>
      <c r="F3" s="1" t="s">
        <v>5</v>
      </c>
      <c r="G3" s="2">
        <v>8</v>
      </c>
      <c r="H3" s="2">
        <v>6396.0330000000004</v>
      </c>
      <c r="I3" s="2">
        <f>H3/G3</f>
        <v>799.50412500000004</v>
      </c>
      <c r="K3" s="1" t="s">
        <v>7</v>
      </c>
      <c r="L3" s="2">
        <v>8</v>
      </c>
      <c r="M3" s="2">
        <v>16998</v>
      </c>
      <c r="N3" s="2">
        <f>M3/L3</f>
        <v>2124.75</v>
      </c>
    </row>
    <row r="4" spans="1:14" x14ac:dyDescent="0.2">
      <c r="A4" s="1" t="s">
        <v>2</v>
      </c>
      <c r="B4" s="2">
        <v>16</v>
      </c>
      <c r="C4" s="2">
        <v>4034</v>
      </c>
      <c r="D4" s="2">
        <f t="shared" ref="D4:D11" si="0">C4/B4</f>
        <v>252.125</v>
      </c>
      <c r="F4" s="1" t="s">
        <v>5</v>
      </c>
      <c r="G4" s="2">
        <v>16</v>
      </c>
      <c r="H4" s="2">
        <v>6374.5510000000004</v>
      </c>
      <c r="I4" s="2">
        <f t="shared" ref="I4:I11" si="1">H4/G4</f>
        <v>398.40943750000002</v>
      </c>
      <c r="K4" s="1" t="s">
        <v>7</v>
      </c>
      <c r="L4" s="2">
        <v>16</v>
      </c>
      <c r="M4" s="2">
        <v>29330</v>
      </c>
      <c r="N4" s="2">
        <f t="shared" ref="N4:N11" si="2">M4/L4</f>
        <v>1833.125</v>
      </c>
    </row>
    <row r="5" spans="1:14" x14ac:dyDescent="0.2">
      <c r="A5" s="1" t="s">
        <v>2</v>
      </c>
      <c r="B5" s="2">
        <v>32</v>
      </c>
      <c r="C5" s="2">
        <v>6207</v>
      </c>
      <c r="D5" s="2">
        <f t="shared" si="0"/>
        <v>193.96875</v>
      </c>
      <c r="F5" s="1" t="s">
        <v>5</v>
      </c>
      <c r="G5" s="2">
        <v>32</v>
      </c>
      <c r="H5" s="2">
        <v>9065.9920000000002</v>
      </c>
      <c r="I5" s="2">
        <f t="shared" si="1"/>
        <v>283.31225000000001</v>
      </c>
      <c r="K5" s="1" t="s">
        <v>7</v>
      </c>
      <c r="L5" s="2">
        <v>32</v>
      </c>
      <c r="M5" s="2">
        <v>53954</v>
      </c>
      <c r="N5" s="2">
        <f t="shared" si="2"/>
        <v>1686.0625</v>
      </c>
    </row>
    <row r="6" spans="1:14" x14ac:dyDescent="0.2">
      <c r="A6" s="1" t="s">
        <v>2</v>
      </c>
      <c r="B6" s="2">
        <v>64</v>
      </c>
      <c r="C6" s="2">
        <v>10551</v>
      </c>
      <c r="D6" s="2">
        <f t="shared" si="0"/>
        <v>164.859375</v>
      </c>
      <c r="F6" s="1" t="s">
        <v>5</v>
      </c>
      <c r="G6" s="2">
        <v>64</v>
      </c>
      <c r="H6" s="2">
        <v>13128.054</v>
      </c>
      <c r="I6" s="2">
        <f t="shared" si="1"/>
        <v>205.12584375</v>
      </c>
      <c r="K6" s="1" t="s">
        <v>7</v>
      </c>
      <c r="L6" s="2">
        <v>64</v>
      </c>
      <c r="M6" s="2">
        <v>103202</v>
      </c>
      <c r="N6" s="2">
        <f t="shared" si="2"/>
        <v>1612.53125</v>
      </c>
    </row>
    <row r="7" spans="1:14" x14ac:dyDescent="0.2">
      <c r="A7" s="1" t="s">
        <v>2</v>
      </c>
      <c r="B7" s="2">
        <v>128</v>
      </c>
      <c r="C7" s="2">
        <v>19279.204000000002</v>
      </c>
      <c r="D7" s="2">
        <f t="shared" si="0"/>
        <v>150.61878125000001</v>
      </c>
      <c r="F7" s="1" t="s">
        <v>5</v>
      </c>
      <c r="G7" s="2">
        <v>128</v>
      </c>
      <c r="H7" s="2">
        <v>21252.09</v>
      </c>
      <c r="I7" s="2">
        <f t="shared" si="1"/>
        <v>166.031953125</v>
      </c>
      <c r="K7" s="1" t="s">
        <v>7</v>
      </c>
      <c r="L7" s="2">
        <v>128</v>
      </c>
      <c r="M7" s="2">
        <v>201698</v>
      </c>
      <c r="N7" s="2">
        <f t="shared" si="2"/>
        <v>1575.765625</v>
      </c>
    </row>
    <row r="8" spans="1:14" x14ac:dyDescent="0.2">
      <c r="A8" s="1" t="s">
        <v>2</v>
      </c>
      <c r="B8" s="2">
        <v>256</v>
      </c>
      <c r="C8" s="2">
        <v>36615</v>
      </c>
      <c r="D8" s="2">
        <f t="shared" si="0"/>
        <v>143.02734375</v>
      </c>
      <c r="F8" s="1" t="s">
        <v>5</v>
      </c>
      <c r="G8" s="2">
        <v>256</v>
      </c>
      <c r="H8" s="2">
        <v>37501.957000000002</v>
      </c>
      <c r="I8" s="2">
        <f t="shared" si="1"/>
        <v>146.49201953125001</v>
      </c>
      <c r="K8" s="1" t="s">
        <v>7</v>
      </c>
      <c r="L8" s="2">
        <v>256</v>
      </c>
      <c r="M8" s="2">
        <v>398690</v>
      </c>
      <c r="N8" s="2">
        <f t="shared" si="2"/>
        <v>1557.3828125</v>
      </c>
    </row>
    <row r="9" spans="1:14" x14ac:dyDescent="0.2">
      <c r="A9" s="1" t="s">
        <v>2</v>
      </c>
      <c r="B9" s="2">
        <v>512</v>
      </c>
      <c r="C9" s="2">
        <v>71407.203999999998</v>
      </c>
      <c r="D9" s="2">
        <f t="shared" si="0"/>
        <v>139.4671953125</v>
      </c>
      <c r="F9" s="1" t="s">
        <v>5</v>
      </c>
      <c r="G9" s="2">
        <v>512</v>
      </c>
      <c r="H9" s="2">
        <v>69999.172999999995</v>
      </c>
      <c r="I9" s="2">
        <f t="shared" si="1"/>
        <v>136.71713476562499</v>
      </c>
      <c r="K9" s="1" t="s">
        <v>7</v>
      </c>
      <c r="L9" s="2">
        <v>512</v>
      </c>
      <c r="M9" s="2">
        <v>792674</v>
      </c>
      <c r="N9" s="2">
        <f t="shared" si="2"/>
        <v>1548.19140625</v>
      </c>
    </row>
    <row r="10" spans="1:14" x14ac:dyDescent="0.2">
      <c r="A10" s="1" t="s">
        <v>2</v>
      </c>
      <c r="B10" s="2">
        <v>1024</v>
      </c>
      <c r="C10" s="2">
        <v>140911.204</v>
      </c>
      <c r="D10" s="2">
        <f t="shared" si="0"/>
        <v>137.60859765625</v>
      </c>
      <c r="F10" s="1" t="s">
        <v>5</v>
      </c>
      <c r="G10" s="2">
        <v>1024</v>
      </c>
      <c r="H10" s="2">
        <v>134995.342</v>
      </c>
      <c r="I10" s="2">
        <f t="shared" si="1"/>
        <v>131.831388671875</v>
      </c>
      <c r="K10" s="1" t="s">
        <v>7</v>
      </c>
      <c r="L10" s="2">
        <v>1024</v>
      </c>
      <c r="M10" s="2">
        <v>1580642.0020000001</v>
      </c>
      <c r="N10" s="2">
        <f t="shared" si="2"/>
        <v>1543.5957050781251</v>
      </c>
    </row>
    <row r="11" spans="1:14" x14ac:dyDescent="0.2">
      <c r="A11" s="1" t="s">
        <v>2</v>
      </c>
      <c r="B11" s="2">
        <v>1500</v>
      </c>
      <c r="C11" s="2">
        <v>206140</v>
      </c>
      <c r="D11" s="2">
        <f t="shared" si="0"/>
        <v>137.42666666666668</v>
      </c>
      <c r="F11" s="1" t="s">
        <v>5</v>
      </c>
      <c r="G11" s="2">
        <v>1500</v>
      </c>
      <c r="H11" s="2">
        <v>194657.807</v>
      </c>
      <c r="I11" s="2">
        <f t="shared" si="1"/>
        <v>129.77187133333334</v>
      </c>
      <c r="K11" s="1" t="s">
        <v>7</v>
      </c>
      <c r="L11" s="2">
        <v>1500</v>
      </c>
      <c r="M11" s="2">
        <v>2319415</v>
      </c>
      <c r="N11" s="2">
        <f t="shared" si="2"/>
        <v>1546.2766666666666</v>
      </c>
    </row>
    <row r="14" spans="1:14" ht="42.75" x14ac:dyDescent="0.2">
      <c r="A14" s="1" t="s">
        <v>0</v>
      </c>
      <c r="B14" s="1" t="s">
        <v>1</v>
      </c>
      <c r="C14" s="4" t="s">
        <v>3</v>
      </c>
      <c r="D14" s="3" t="s">
        <v>15</v>
      </c>
      <c r="E14" s="1"/>
      <c r="F14" s="1" t="s">
        <v>0</v>
      </c>
      <c r="G14" s="1" t="s">
        <v>1</v>
      </c>
      <c r="H14" s="4" t="s">
        <v>3</v>
      </c>
      <c r="I14" s="3" t="s">
        <v>15</v>
      </c>
      <c r="K14" s="1" t="s">
        <v>0</v>
      </c>
      <c r="L14" s="1" t="s">
        <v>1</v>
      </c>
      <c r="M14" s="4" t="s">
        <v>3</v>
      </c>
      <c r="N14" s="3" t="s">
        <v>15</v>
      </c>
    </row>
    <row r="15" spans="1:14" x14ac:dyDescent="0.2">
      <c r="A15" s="1" t="s">
        <v>4</v>
      </c>
      <c r="B15" s="2">
        <v>8</v>
      </c>
      <c r="C15" s="2">
        <v>5452.0060000000003</v>
      </c>
      <c r="D15" s="2">
        <f>C15/B15</f>
        <v>681.50075000000004</v>
      </c>
      <c r="F15" s="1" t="s">
        <v>6</v>
      </c>
      <c r="G15" s="2">
        <v>8</v>
      </c>
      <c r="H15" s="2">
        <v>10811.203</v>
      </c>
      <c r="I15" s="2">
        <f>H15/G15</f>
        <v>1351.4003749999999</v>
      </c>
      <c r="K15" s="1" t="s">
        <v>8</v>
      </c>
      <c r="L15" s="2">
        <v>8</v>
      </c>
      <c r="M15" s="2">
        <v>21297</v>
      </c>
      <c r="N15" s="2">
        <f>M15/L15</f>
        <v>2662.125</v>
      </c>
    </row>
    <row r="16" spans="1:14" x14ac:dyDescent="0.2">
      <c r="A16" s="1" t="s">
        <v>4</v>
      </c>
      <c r="B16" s="2">
        <v>16</v>
      </c>
      <c r="C16" s="2">
        <v>5467.0169999999998</v>
      </c>
      <c r="D16" s="2">
        <f t="shared" ref="D16:D23" si="3">C16/B16</f>
        <v>341.68856249999999</v>
      </c>
      <c r="F16" s="1" t="s">
        <v>6</v>
      </c>
      <c r="G16" s="2">
        <v>16</v>
      </c>
      <c r="H16" s="2">
        <v>10857.204</v>
      </c>
      <c r="I16" s="2">
        <f t="shared" ref="I16:I23" si="4">H16/G16</f>
        <v>678.57524999999998</v>
      </c>
      <c r="K16" s="1" t="s">
        <v>8</v>
      </c>
      <c r="L16" s="2">
        <v>16</v>
      </c>
      <c r="M16" s="2">
        <v>21233</v>
      </c>
      <c r="N16" s="2">
        <f t="shared" ref="N16:N23" si="5">M16/L16</f>
        <v>1327.0625</v>
      </c>
    </row>
    <row r="17" spans="1:14" x14ac:dyDescent="0.2">
      <c r="A17" s="1" t="s">
        <v>4</v>
      </c>
      <c r="B17" s="2">
        <v>32</v>
      </c>
      <c r="C17" s="2">
        <v>7838.0450000000001</v>
      </c>
      <c r="D17" s="2">
        <f t="shared" si="3"/>
        <v>244.93890625</v>
      </c>
      <c r="F17" s="1" t="s">
        <v>6</v>
      </c>
      <c r="G17" s="2">
        <v>32</v>
      </c>
      <c r="H17" s="2">
        <v>13286</v>
      </c>
      <c r="I17" s="2">
        <f t="shared" si="4"/>
        <v>415.1875</v>
      </c>
      <c r="K17" s="1" t="s">
        <v>8</v>
      </c>
      <c r="L17" s="2">
        <v>32</v>
      </c>
      <c r="M17" s="2">
        <v>39729</v>
      </c>
      <c r="N17" s="2">
        <f t="shared" si="5"/>
        <v>1241.53125</v>
      </c>
    </row>
    <row r="18" spans="1:14" x14ac:dyDescent="0.2">
      <c r="A18" s="1" t="s">
        <v>4</v>
      </c>
      <c r="B18" s="2">
        <v>64</v>
      </c>
      <c r="C18" s="2">
        <v>12580.120999999999</v>
      </c>
      <c r="D18" s="2">
        <f t="shared" si="3"/>
        <v>196.56439062499999</v>
      </c>
      <c r="F18" s="1" t="s">
        <v>6</v>
      </c>
      <c r="G18" s="2">
        <v>64</v>
      </c>
      <c r="H18" s="2">
        <v>18224</v>
      </c>
      <c r="I18" s="2">
        <f t="shared" si="4"/>
        <v>284.75</v>
      </c>
      <c r="K18" s="1" t="s">
        <v>8</v>
      </c>
      <c r="L18" s="2">
        <v>64</v>
      </c>
      <c r="M18" s="2">
        <v>76677</v>
      </c>
      <c r="N18" s="2">
        <f t="shared" si="5"/>
        <v>1198.078125</v>
      </c>
    </row>
    <row r="19" spans="1:14" x14ac:dyDescent="0.2">
      <c r="A19" s="1" t="s">
        <v>4</v>
      </c>
      <c r="B19" s="2">
        <v>128</v>
      </c>
      <c r="C19" s="2">
        <v>22064.201000000001</v>
      </c>
      <c r="D19" s="2">
        <f t="shared" si="3"/>
        <v>172.37657031250001</v>
      </c>
      <c r="F19" s="1" t="s">
        <v>6</v>
      </c>
      <c r="G19" s="2">
        <v>128</v>
      </c>
      <c r="H19" s="2">
        <v>28103</v>
      </c>
      <c r="I19" s="2">
        <f t="shared" si="4"/>
        <v>219.5546875</v>
      </c>
      <c r="K19" s="1" t="s">
        <v>8</v>
      </c>
      <c r="L19" s="2">
        <v>128</v>
      </c>
      <c r="M19" s="2">
        <v>150574</v>
      </c>
      <c r="N19" s="2">
        <f t="shared" si="5"/>
        <v>1176.359375</v>
      </c>
    </row>
    <row r="20" spans="1:14" x14ac:dyDescent="0.2">
      <c r="A20" s="1" t="s">
        <v>4</v>
      </c>
      <c r="B20" s="2">
        <v>256</v>
      </c>
      <c r="C20" s="2">
        <v>41032.483999999997</v>
      </c>
      <c r="D20" s="2">
        <f t="shared" si="3"/>
        <v>160.28314062499999</v>
      </c>
      <c r="F20" s="1" t="s">
        <v>6</v>
      </c>
      <c r="G20" s="2">
        <v>256</v>
      </c>
      <c r="H20" s="2">
        <v>47852</v>
      </c>
      <c r="I20" s="2">
        <f t="shared" si="4"/>
        <v>186.921875</v>
      </c>
      <c r="K20" s="1" t="s">
        <v>8</v>
      </c>
      <c r="L20" s="2">
        <v>256</v>
      </c>
      <c r="M20" s="2">
        <v>298365</v>
      </c>
      <c r="N20" s="2">
        <f t="shared" si="5"/>
        <v>1165.48828125</v>
      </c>
    </row>
    <row r="21" spans="1:14" x14ac:dyDescent="0.2">
      <c r="A21" s="1" t="s">
        <v>4</v>
      </c>
      <c r="B21" s="2">
        <v>512</v>
      </c>
      <c r="C21" s="2">
        <v>78968.774999999994</v>
      </c>
      <c r="D21" s="2">
        <f t="shared" si="3"/>
        <v>154.23588867187499</v>
      </c>
      <c r="F21" s="1" t="s">
        <v>6</v>
      </c>
      <c r="G21" s="2">
        <v>512</v>
      </c>
      <c r="H21" s="2">
        <v>87359</v>
      </c>
      <c r="I21" s="2">
        <f t="shared" si="4"/>
        <v>170.623046875</v>
      </c>
      <c r="K21" s="1" t="s">
        <v>8</v>
      </c>
      <c r="L21" s="2">
        <v>512</v>
      </c>
      <c r="M21" s="2">
        <v>593950</v>
      </c>
      <c r="N21" s="2">
        <f t="shared" si="5"/>
        <v>1160.05859375</v>
      </c>
    </row>
    <row r="22" spans="1:14" x14ac:dyDescent="0.2">
      <c r="A22" s="1" t="s">
        <v>4</v>
      </c>
      <c r="B22" s="2">
        <v>1024</v>
      </c>
      <c r="C22" s="2">
        <v>154841.87400000001</v>
      </c>
      <c r="D22" s="2">
        <f t="shared" si="3"/>
        <v>151.21276757812501</v>
      </c>
      <c r="F22" s="1" t="s">
        <v>6</v>
      </c>
      <c r="G22" s="2">
        <v>1024</v>
      </c>
      <c r="H22" s="2">
        <v>166364</v>
      </c>
      <c r="I22" s="2">
        <f t="shared" si="4"/>
        <v>162.46484375</v>
      </c>
      <c r="K22" s="1" t="s">
        <v>8</v>
      </c>
      <c r="L22" s="2">
        <v>1024</v>
      </c>
      <c r="M22" s="2">
        <v>1185117</v>
      </c>
      <c r="N22" s="2">
        <f t="shared" si="5"/>
        <v>1157.3408203125</v>
      </c>
    </row>
    <row r="23" spans="1:14" x14ac:dyDescent="0.2">
      <c r="A23" s="1" t="s">
        <v>4</v>
      </c>
      <c r="B23" s="2">
        <v>1500</v>
      </c>
      <c r="C23" s="2">
        <v>225972.44200000001</v>
      </c>
      <c r="D23" s="2">
        <f t="shared" si="3"/>
        <v>150.64829466666669</v>
      </c>
      <c r="F23" s="1" t="s">
        <v>6</v>
      </c>
      <c r="G23" s="2">
        <v>1500</v>
      </c>
      <c r="H23" s="2">
        <v>240413</v>
      </c>
      <c r="I23" s="2">
        <f t="shared" si="4"/>
        <v>160.27533333333332</v>
      </c>
      <c r="K23" s="1" t="s">
        <v>8</v>
      </c>
      <c r="L23" s="2">
        <v>1500</v>
      </c>
      <c r="M23" s="2">
        <v>1739399</v>
      </c>
      <c r="N23" s="2">
        <f t="shared" si="5"/>
        <v>1159.5993333333333</v>
      </c>
    </row>
    <row r="24" spans="1:14" x14ac:dyDescent="0.2">
      <c r="A24" s="1"/>
    </row>
    <row r="25" spans="1:14" x14ac:dyDescent="0.2">
      <c r="A25" s="1"/>
    </row>
    <row r="26" spans="1:14" x14ac:dyDescent="0.2">
      <c r="A26" s="1"/>
    </row>
    <row r="28" spans="1:14" ht="42.75" x14ac:dyDescent="0.2">
      <c r="A28" s="1" t="s">
        <v>0</v>
      </c>
      <c r="B28" s="1" t="s">
        <v>1</v>
      </c>
      <c r="C28" s="4" t="s">
        <v>3</v>
      </c>
      <c r="D28" s="3" t="s">
        <v>15</v>
      </c>
      <c r="E28" s="1"/>
      <c r="F28" s="1" t="s">
        <v>0</v>
      </c>
      <c r="G28" s="1" t="s">
        <v>1</v>
      </c>
      <c r="H28" s="4" t="s">
        <v>3</v>
      </c>
      <c r="I28" s="3" t="s">
        <v>15</v>
      </c>
      <c r="K28" s="1" t="s">
        <v>0</v>
      </c>
      <c r="L28" s="1" t="s">
        <v>1</v>
      </c>
      <c r="M28" s="4" t="s">
        <v>3</v>
      </c>
      <c r="N28" s="3" t="s">
        <v>15</v>
      </c>
    </row>
    <row r="29" spans="1:14" x14ac:dyDescent="0.2">
      <c r="A29" s="1" t="s">
        <v>9</v>
      </c>
      <c r="B29" s="2">
        <v>8</v>
      </c>
      <c r="C29" s="2">
        <v>5982.3959999999997</v>
      </c>
      <c r="D29" s="2">
        <f>C29/B29</f>
        <v>747.79949999999997</v>
      </c>
      <c r="F29" s="1" t="s">
        <v>17</v>
      </c>
      <c r="G29" s="2">
        <v>8</v>
      </c>
      <c r="H29" s="2">
        <v>10942.513000000001</v>
      </c>
      <c r="I29" s="2">
        <f>H29/G29</f>
        <v>1367.8141250000001</v>
      </c>
      <c r="K29" s="1" t="s">
        <v>11</v>
      </c>
      <c r="L29" s="2">
        <v>8</v>
      </c>
      <c r="M29" s="2">
        <v>16994</v>
      </c>
      <c r="N29" s="2">
        <f>M29/L29</f>
        <v>2124.25</v>
      </c>
    </row>
    <row r="30" spans="1:14" x14ac:dyDescent="0.2">
      <c r="A30" s="1" t="s">
        <v>9</v>
      </c>
      <c r="B30" s="2">
        <v>16</v>
      </c>
      <c r="C30" s="2">
        <v>5992.9989999999998</v>
      </c>
      <c r="D30" s="2">
        <f t="shared" ref="D30:D37" si="6">C30/B30</f>
        <v>374.56243749999999</v>
      </c>
      <c r="F30" s="1" t="s">
        <v>17</v>
      </c>
      <c r="G30" s="2">
        <v>16</v>
      </c>
      <c r="H30" s="2">
        <v>10947.697</v>
      </c>
      <c r="I30" s="2">
        <f t="shared" ref="I30:I37" si="7">H30/G30</f>
        <v>684.23106250000001</v>
      </c>
      <c r="K30" s="1" t="s">
        <v>11</v>
      </c>
      <c r="L30" s="2">
        <v>16</v>
      </c>
      <c r="M30" s="2">
        <v>24874</v>
      </c>
      <c r="N30" s="2">
        <f t="shared" ref="N30:N37" si="8">M30/L30</f>
        <v>1554.625</v>
      </c>
    </row>
    <row r="31" spans="1:14" x14ac:dyDescent="0.2">
      <c r="A31" s="1" t="s">
        <v>9</v>
      </c>
      <c r="B31" s="2">
        <v>32</v>
      </c>
      <c r="C31" s="2">
        <v>8901.1329999999998</v>
      </c>
      <c r="D31" s="2">
        <f t="shared" si="6"/>
        <v>278.16040624999999</v>
      </c>
      <c r="F31" s="1" t="s">
        <v>17</v>
      </c>
      <c r="G31" s="2">
        <v>32</v>
      </c>
      <c r="H31" s="2">
        <v>14481.552</v>
      </c>
      <c r="I31" s="2">
        <f t="shared" si="7"/>
        <v>452.54849999999999</v>
      </c>
      <c r="K31" s="1" t="s">
        <v>11</v>
      </c>
      <c r="L31" s="2">
        <v>32</v>
      </c>
      <c r="M31" s="2">
        <v>40600</v>
      </c>
      <c r="N31" s="2">
        <f t="shared" si="8"/>
        <v>1268.75</v>
      </c>
    </row>
    <row r="32" spans="1:14" x14ac:dyDescent="0.2">
      <c r="A32" s="1" t="s">
        <v>9</v>
      </c>
      <c r="B32" s="2">
        <v>64</v>
      </c>
      <c r="C32" s="2">
        <v>14717.867</v>
      </c>
      <c r="D32" s="2">
        <f t="shared" si="6"/>
        <v>229.966671875</v>
      </c>
      <c r="F32" s="1" t="s">
        <v>17</v>
      </c>
      <c r="G32" s="2">
        <v>64</v>
      </c>
      <c r="H32" s="2">
        <v>21594.275000000001</v>
      </c>
      <c r="I32" s="2">
        <f t="shared" si="7"/>
        <v>337.41054687500002</v>
      </c>
      <c r="K32" s="1" t="s">
        <v>11</v>
      </c>
      <c r="L32" s="2">
        <v>64</v>
      </c>
      <c r="M32" s="2">
        <v>72052</v>
      </c>
      <c r="N32" s="2">
        <f t="shared" si="8"/>
        <v>1125.8125</v>
      </c>
    </row>
    <row r="33" spans="1:14" x14ac:dyDescent="0.2">
      <c r="A33" s="1" t="s">
        <v>9</v>
      </c>
      <c r="B33" s="2">
        <v>128</v>
      </c>
      <c r="C33" s="2">
        <v>26351.11</v>
      </c>
      <c r="D33" s="2">
        <f t="shared" si="6"/>
        <v>205.868046875</v>
      </c>
      <c r="F33" s="1" t="s">
        <v>17</v>
      </c>
      <c r="G33" s="2">
        <v>128</v>
      </c>
      <c r="H33" s="2">
        <v>35816.572999999997</v>
      </c>
      <c r="I33" s="2">
        <f t="shared" si="7"/>
        <v>279.81697656249997</v>
      </c>
      <c r="K33" s="1" t="s">
        <v>11</v>
      </c>
      <c r="L33" s="2">
        <v>128</v>
      </c>
      <c r="M33" s="2">
        <v>134956</v>
      </c>
      <c r="N33" s="2">
        <f t="shared" si="8"/>
        <v>1054.34375</v>
      </c>
    </row>
    <row r="34" spans="1:14" x14ac:dyDescent="0.2">
      <c r="A34" s="1" t="s">
        <v>9</v>
      </c>
      <c r="B34" s="2">
        <v>256</v>
      </c>
      <c r="C34" s="2">
        <v>49621.048000000003</v>
      </c>
      <c r="D34" s="2">
        <f t="shared" si="6"/>
        <v>193.83221875000001</v>
      </c>
      <c r="F34" s="1" t="s">
        <v>17</v>
      </c>
      <c r="G34" s="2">
        <v>256</v>
      </c>
      <c r="H34" s="2">
        <v>64263.069000000003</v>
      </c>
      <c r="I34" s="2">
        <f t="shared" si="7"/>
        <v>251.02761328125001</v>
      </c>
      <c r="K34" s="1" t="s">
        <v>11</v>
      </c>
      <c r="L34" s="2">
        <v>256</v>
      </c>
      <c r="M34" s="2">
        <v>260764</v>
      </c>
      <c r="N34" s="2">
        <f t="shared" si="8"/>
        <v>1018.609375</v>
      </c>
    </row>
    <row r="35" spans="1:14" x14ac:dyDescent="0.2">
      <c r="A35" s="1" t="s">
        <v>9</v>
      </c>
      <c r="B35" s="2">
        <v>512</v>
      </c>
      <c r="C35" s="2">
        <v>96153.523000000001</v>
      </c>
      <c r="D35" s="2">
        <f t="shared" si="6"/>
        <v>187.799849609375</v>
      </c>
      <c r="F35" s="1" t="s">
        <v>17</v>
      </c>
      <c r="G35" s="2">
        <v>512</v>
      </c>
      <c r="H35" s="2">
        <v>121153.88400000001</v>
      </c>
      <c r="I35" s="2">
        <f t="shared" si="7"/>
        <v>236.62867968750001</v>
      </c>
      <c r="K35" s="1" t="s">
        <v>11</v>
      </c>
      <c r="L35" s="2">
        <v>512</v>
      </c>
      <c r="M35" s="2">
        <v>512380</v>
      </c>
      <c r="N35" s="2">
        <f t="shared" si="8"/>
        <v>1000.7421875</v>
      </c>
    </row>
    <row r="36" spans="1:14" x14ac:dyDescent="0.2">
      <c r="A36" s="1" t="s">
        <v>9</v>
      </c>
      <c r="B36" s="2">
        <v>1024</v>
      </c>
      <c r="C36" s="2">
        <v>189229.09700000001</v>
      </c>
      <c r="D36" s="2">
        <f t="shared" si="6"/>
        <v>184.79404003906251</v>
      </c>
      <c r="F36" s="1" t="s">
        <v>17</v>
      </c>
      <c r="G36" s="2">
        <v>1024</v>
      </c>
      <c r="H36" s="2">
        <v>234936.79</v>
      </c>
      <c r="I36" s="2">
        <f t="shared" si="7"/>
        <v>229.43045898437501</v>
      </c>
      <c r="K36" s="1" t="s">
        <v>11</v>
      </c>
      <c r="L36" s="2">
        <v>1024</v>
      </c>
      <c r="M36" s="2">
        <v>1015612.002</v>
      </c>
      <c r="N36" s="2">
        <f t="shared" si="8"/>
        <v>991.80859570312498</v>
      </c>
    </row>
    <row r="37" spans="1:14" x14ac:dyDescent="0.2">
      <c r="A37" s="1" t="s">
        <v>9</v>
      </c>
      <c r="B37" s="2">
        <v>1500</v>
      </c>
      <c r="C37" s="2">
        <v>276481.43800000002</v>
      </c>
      <c r="D37" s="2">
        <f t="shared" si="6"/>
        <v>184.32095866666668</v>
      </c>
      <c r="F37" s="1" t="s">
        <v>17</v>
      </c>
      <c r="G37" s="2">
        <v>1500</v>
      </c>
      <c r="H37" s="2">
        <v>341606.52399999998</v>
      </c>
      <c r="I37" s="2">
        <f t="shared" si="7"/>
        <v>227.73768266666664</v>
      </c>
      <c r="K37" s="1" t="s">
        <v>11</v>
      </c>
      <c r="L37" s="2">
        <v>1500</v>
      </c>
      <c r="M37" s="2">
        <v>1487468</v>
      </c>
      <c r="N37" s="2">
        <f t="shared" si="8"/>
        <v>991.64533333333338</v>
      </c>
    </row>
    <row r="40" spans="1:14" ht="42.75" x14ac:dyDescent="0.2">
      <c r="A40" s="1" t="s">
        <v>0</v>
      </c>
      <c r="B40" s="1" t="s">
        <v>1</v>
      </c>
      <c r="C40" s="4" t="s">
        <v>3</v>
      </c>
      <c r="D40" s="3" t="s">
        <v>15</v>
      </c>
      <c r="E40" s="1"/>
      <c r="F40" s="1" t="s">
        <v>0</v>
      </c>
      <c r="G40" s="1" t="s">
        <v>1</v>
      </c>
      <c r="H40" s="4" t="s">
        <v>3</v>
      </c>
      <c r="I40" s="3" t="s">
        <v>15</v>
      </c>
      <c r="K40" s="1" t="s">
        <v>0</v>
      </c>
      <c r="L40" s="1" t="s">
        <v>1</v>
      </c>
      <c r="M40" s="4" t="s">
        <v>3</v>
      </c>
      <c r="N40" s="3" t="s">
        <v>15</v>
      </c>
    </row>
    <row r="41" spans="1:14" x14ac:dyDescent="0.2">
      <c r="A41" s="1" t="s">
        <v>10</v>
      </c>
      <c r="B41" s="2">
        <v>8</v>
      </c>
      <c r="C41" s="2">
        <v>3120.8960000000002</v>
      </c>
      <c r="D41" s="2">
        <f>C41/B41</f>
        <v>390.11200000000002</v>
      </c>
      <c r="F41" s="1" t="s">
        <v>16</v>
      </c>
      <c r="G41" s="2">
        <v>8</v>
      </c>
      <c r="H41" s="2">
        <v>5032.5780000000004</v>
      </c>
      <c r="I41" s="2">
        <f>H41/G41</f>
        <v>629.07225000000005</v>
      </c>
      <c r="K41" s="1" t="s">
        <v>14</v>
      </c>
      <c r="L41" s="2">
        <v>8</v>
      </c>
      <c r="M41" s="2">
        <v>21277</v>
      </c>
      <c r="N41" s="2">
        <f>M41/L41</f>
        <v>2659.625</v>
      </c>
    </row>
    <row r="42" spans="1:14" x14ac:dyDescent="0.2">
      <c r="A42" s="1" t="s">
        <v>10</v>
      </c>
      <c r="B42" s="2">
        <v>16</v>
      </c>
      <c r="C42" s="2">
        <v>3209.2809999999999</v>
      </c>
      <c r="D42" s="2">
        <f t="shared" ref="D42:D49" si="9">C42/B42</f>
        <v>200.5800625</v>
      </c>
      <c r="F42" s="1" t="s">
        <v>16</v>
      </c>
      <c r="G42" s="2">
        <v>16</v>
      </c>
      <c r="H42" s="2">
        <v>5053.0370000000003</v>
      </c>
      <c r="I42" s="2">
        <f t="shared" ref="I42:I49" si="10">H42/G42</f>
        <v>315.81481250000002</v>
      </c>
      <c r="K42" s="1" t="s">
        <v>14</v>
      </c>
      <c r="L42" s="2">
        <v>16</v>
      </c>
      <c r="M42" s="2">
        <v>21210</v>
      </c>
      <c r="N42" s="2">
        <f t="shared" ref="N42:N49" si="11">M42/L42</f>
        <v>1325.625</v>
      </c>
    </row>
    <row r="43" spans="1:14" x14ac:dyDescent="0.2">
      <c r="A43" s="1" t="s">
        <v>10</v>
      </c>
      <c r="B43" s="2">
        <v>32</v>
      </c>
      <c r="C43" s="2">
        <v>4624.7389999999996</v>
      </c>
      <c r="D43" s="2">
        <f t="shared" si="9"/>
        <v>144.52309374999999</v>
      </c>
      <c r="F43" s="1" t="s">
        <v>16</v>
      </c>
      <c r="G43" s="2">
        <v>32</v>
      </c>
      <c r="H43" s="2">
        <v>7238.4889999999996</v>
      </c>
      <c r="I43" s="2">
        <f t="shared" si="10"/>
        <v>226.20278124999999</v>
      </c>
      <c r="K43" s="1" t="s">
        <v>14</v>
      </c>
      <c r="L43" s="2">
        <v>32</v>
      </c>
      <c r="M43" s="2">
        <v>33078</v>
      </c>
      <c r="N43" s="2">
        <f t="shared" si="11"/>
        <v>1033.6875</v>
      </c>
    </row>
    <row r="44" spans="1:14" x14ac:dyDescent="0.2">
      <c r="A44" s="1" t="s">
        <v>10</v>
      </c>
      <c r="B44" s="2">
        <v>64</v>
      </c>
      <c r="C44" s="2">
        <v>7455.6109999999999</v>
      </c>
      <c r="D44" s="2">
        <f t="shared" si="9"/>
        <v>116.493921875</v>
      </c>
      <c r="F44" s="1" t="s">
        <v>16</v>
      </c>
      <c r="G44" s="2">
        <v>64</v>
      </c>
      <c r="H44" s="2">
        <v>11456.351000000001</v>
      </c>
      <c r="I44" s="2">
        <f t="shared" si="10"/>
        <v>179.00548437500001</v>
      </c>
      <c r="K44" s="1" t="s">
        <v>14</v>
      </c>
      <c r="L44" s="2">
        <v>64</v>
      </c>
      <c r="M44" s="2">
        <v>56778</v>
      </c>
      <c r="N44" s="2">
        <f t="shared" si="11"/>
        <v>887.15625</v>
      </c>
    </row>
    <row r="45" spans="1:14" x14ac:dyDescent="0.2">
      <c r="A45" s="1" t="s">
        <v>10</v>
      </c>
      <c r="B45" s="2">
        <v>128</v>
      </c>
      <c r="C45" s="2">
        <v>13115.74</v>
      </c>
      <c r="D45" s="2">
        <f t="shared" si="9"/>
        <v>102.46671875</v>
      </c>
      <c r="F45" s="1" t="s">
        <v>16</v>
      </c>
      <c r="G45" s="2">
        <v>128</v>
      </c>
      <c r="H45" s="2">
        <v>19892.249</v>
      </c>
      <c r="I45" s="2">
        <f t="shared" si="10"/>
        <v>155.4081953125</v>
      </c>
      <c r="K45" s="1" t="s">
        <v>14</v>
      </c>
      <c r="L45" s="2">
        <v>128</v>
      </c>
      <c r="M45" s="2">
        <v>104178</v>
      </c>
      <c r="N45" s="2">
        <f t="shared" si="11"/>
        <v>813.890625</v>
      </c>
    </row>
    <row r="46" spans="1:14" x14ac:dyDescent="0.2">
      <c r="A46" s="1" t="s">
        <v>10</v>
      </c>
      <c r="B46" s="2">
        <v>256</v>
      </c>
      <c r="C46" s="2">
        <v>24439.422999999999</v>
      </c>
      <c r="D46" s="2">
        <f t="shared" si="9"/>
        <v>95.466496093749996</v>
      </c>
      <c r="F46" s="1" t="s">
        <v>16</v>
      </c>
      <c r="G46" s="2">
        <v>256</v>
      </c>
      <c r="H46" s="2">
        <v>36763.512999999999</v>
      </c>
      <c r="I46" s="2">
        <f t="shared" si="10"/>
        <v>143.60747265625</v>
      </c>
      <c r="K46" s="1" t="s">
        <v>14</v>
      </c>
      <c r="L46" s="2">
        <v>256</v>
      </c>
      <c r="M46" s="2">
        <v>198978</v>
      </c>
      <c r="N46" s="2">
        <f t="shared" si="11"/>
        <v>777.2578125</v>
      </c>
    </row>
    <row r="47" spans="1:14" x14ac:dyDescent="0.2">
      <c r="A47" s="1" t="s">
        <v>10</v>
      </c>
      <c r="B47" s="2">
        <v>512</v>
      </c>
      <c r="C47" s="2">
        <v>47081.063000000002</v>
      </c>
      <c r="D47" s="2">
        <f t="shared" si="9"/>
        <v>91.955201171875004</v>
      </c>
      <c r="F47" s="1" t="s">
        <v>16</v>
      </c>
      <c r="G47" s="2">
        <v>512</v>
      </c>
      <c r="H47" s="2">
        <v>70506.002999999997</v>
      </c>
      <c r="I47" s="2">
        <f t="shared" si="10"/>
        <v>137.70703710937499</v>
      </c>
      <c r="K47" s="1" t="s">
        <v>14</v>
      </c>
      <c r="L47" s="2">
        <v>512</v>
      </c>
      <c r="M47" s="2">
        <v>388578</v>
      </c>
      <c r="N47" s="2">
        <f t="shared" si="11"/>
        <v>758.94140625</v>
      </c>
    </row>
    <row r="48" spans="1:14" x14ac:dyDescent="0.2">
      <c r="A48" s="1" t="s">
        <v>10</v>
      </c>
      <c r="B48" s="2">
        <v>1024</v>
      </c>
      <c r="C48" s="2">
        <v>92369.383000000002</v>
      </c>
      <c r="D48" s="2">
        <f t="shared" si="9"/>
        <v>90.204475585937502</v>
      </c>
      <c r="F48" s="1" t="s">
        <v>16</v>
      </c>
      <c r="G48" s="2">
        <v>1024</v>
      </c>
      <c r="H48" s="2">
        <v>137990.19200000001</v>
      </c>
      <c r="I48" s="2">
        <f t="shared" si="10"/>
        <v>134.75604687500001</v>
      </c>
      <c r="K48" s="1" t="s">
        <v>14</v>
      </c>
      <c r="L48" s="2">
        <v>1024</v>
      </c>
      <c r="M48" s="2">
        <v>767778</v>
      </c>
      <c r="N48" s="2">
        <f t="shared" si="11"/>
        <v>749.783203125</v>
      </c>
    </row>
    <row r="49" spans="1:14" x14ac:dyDescent="0.2">
      <c r="A49" s="1" t="s">
        <v>10</v>
      </c>
      <c r="B49" s="2">
        <v>1500</v>
      </c>
      <c r="C49" s="2">
        <v>134754.027</v>
      </c>
      <c r="D49" s="2">
        <f t="shared" si="9"/>
        <v>89.836017999999996</v>
      </c>
      <c r="F49" s="1" t="s">
        <v>16</v>
      </c>
      <c r="G49" s="2">
        <v>1500</v>
      </c>
      <c r="H49" s="2">
        <v>201259.28400000001</v>
      </c>
      <c r="I49" s="2">
        <f t="shared" si="10"/>
        <v>134.172856</v>
      </c>
      <c r="K49" s="1" t="s">
        <v>14</v>
      </c>
      <c r="L49" s="2">
        <v>1500</v>
      </c>
      <c r="M49" s="2">
        <v>1123341</v>
      </c>
      <c r="N49" s="2">
        <f t="shared" si="11"/>
        <v>748.89400000000001</v>
      </c>
    </row>
    <row r="54" spans="1:14" ht="42.75" x14ac:dyDescent="0.2">
      <c r="A54" s="1" t="s">
        <v>0</v>
      </c>
      <c r="B54" s="1" t="s">
        <v>1</v>
      </c>
      <c r="C54" s="4" t="s">
        <v>3</v>
      </c>
      <c r="D54" s="3" t="s">
        <v>15</v>
      </c>
      <c r="E54" s="1"/>
      <c r="F54" s="1"/>
      <c r="G54" s="1"/>
      <c r="H54" s="4"/>
      <c r="I54" s="3"/>
      <c r="K54" s="1" t="s">
        <v>0</v>
      </c>
      <c r="L54" s="1" t="s">
        <v>1</v>
      </c>
      <c r="M54" s="4" t="s">
        <v>3</v>
      </c>
      <c r="N54" s="3" t="s">
        <v>15</v>
      </c>
    </row>
    <row r="55" spans="1:14" x14ac:dyDescent="0.2">
      <c r="A55" s="1" t="s">
        <v>12</v>
      </c>
      <c r="B55" s="2">
        <v>8</v>
      </c>
      <c r="C55" s="2">
        <v>37137</v>
      </c>
      <c r="D55" s="2">
        <f>C55/B55</f>
        <v>4642.125</v>
      </c>
      <c r="F55" s="1"/>
      <c r="K55" s="1" t="s">
        <v>18</v>
      </c>
      <c r="L55" s="2">
        <v>8</v>
      </c>
      <c r="M55" s="2">
        <v>21283</v>
      </c>
      <c r="N55" s="2">
        <f>M55/L55</f>
        <v>2660.375</v>
      </c>
    </row>
    <row r="56" spans="1:14" x14ac:dyDescent="0.2">
      <c r="A56" s="1" t="s">
        <v>12</v>
      </c>
      <c r="B56" s="2">
        <v>16</v>
      </c>
      <c r="C56" s="2">
        <v>37122</v>
      </c>
      <c r="D56" s="2">
        <f t="shared" ref="D56:D63" si="12">C56/B56</f>
        <v>2320.125</v>
      </c>
      <c r="F56" s="1"/>
      <c r="K56" s="1" t="s">
        <v>18</v>
      </c>
      <c r="L56" s="2">
        <v>16</v>
      </c>
      <c r="M56" s="2">
        <v>21221</v>
      </c>
      <c r="N56" s="2">
        <f>M56/L56</f>
        <v>1326.3125</v>
      </c>
    </row>
    <row r="57" spans="1:14" x14ac:dyDescent="0.2">
      <c r="A57" s="1" t="s">
        <v>12</v>
      </c>
      <c r="B57" s="2">
        <v>32</v>
      </c>
      <c r="C57" s="2">
        <v>60753</v>
      </c>
      <c r="D57" s="2">
        <f t="shared" si="12"/>
        <v>1898.53125</v>
      </c>
      <c r="F57" s="1"/>
      <c r="K57" s="1" t="s">
        <v>18</v>
      </c>
      <c r="L57" s="2">
        <v>32</v>
      </c>
      <c r="M57" s="2">
        <v>33060</v>
      </c>
      <c r="N57" s="2">
        <f t="shared" ref="N57:N63" si="13">M57/L57</f>
        <v>1033.125</v>
      </c>
    </row>
    <row r="58" spans="1:14" x14ac:dyDescent="0.2">
      <c r="A58" s="1" t="s">
        <v>12</v>
      </c>
      <c r="B58" s="2">
        <v>64</v>
      </c>
      <c r="C58" s="2">
        <v>107989</v>
      </c>
      <c r="D58" s="2">
        <f t="shared" si="12"/>
        <v>1687.328125</v>
      </c>
      <c r="F58" s="1"/>
      <c r="K58" s="1" t="s">
        <v>18</v>
      </c>
      <c r="L58" s="2">
        <v>64</v>
      </c>
      <c r="M58" s="2">
        <v>56721</v>
      </c>
      <c r="N58" s="2">
        <f t="shared" si="13"/>
        <v>886.265625</v>
      </c>
    </row>
    <row r="59" spans="1:14" x14ac:dyDescent="0.2">
      <c r="A59" s="1" t="s">
        <v>12</v>
      </c>
      <c r="B59" s="2">
        <v>128</v>
      </c>
      <c r="C59" s="2">
        <v>202461</v>
      </c>
      <c r="D59" s="2">
        <f t="shared" si="12"/>
        <v>1581.7265625</v>
      </c>
      <c r="F59" s="1"/>
      <c r="K59" s="1" t="s">
        <v>18</v>
      </c>
      <c r="L59" s="2">
        <v>128</v>
      </c>
      <c r="M59" s="2">
        <v>104037</v>
      </c>
      <c r="N59" s="2">
        <f t="shared" si="13"/>
        <v>812.7890625</v>
      </c>
    </row>
    <row r="60" spans="1:14" x14ac:dyDescent="0.2">
      <c r="A60" s="1" t="s">
        <v>12</v>
      </c>
      <c r="B60" s="2">
        <v>256</v>
      </c>
      <c r="C60" s="2">
        <v>391405</v>
      </c>
      <c r="D60" s="2">
        <f t="shared" si="12"/>
        <v>1528.92578125</v>
      </c>
      <c r="F60" s="1"/>
      <c r="K60" s="1" t="s">
        <v>18</v>
      </c>
      <c r="L60" s="2">
        <v>256</v>
      </c>
      <c r="M60" s="2">
        <v>198669</v>
      </c>
      <c r="N60" s="2">
        <f t="shared" si="13"/>
        <v>776.05078125</v>
      </c>
    </row>
    <row r="61" spans="1:14" x14ac:dyDescent="0.2">
      <c r="A61" s="1" t="s">
        <v>12</v>
      </c>
      <c r="B61" s="2">
        <v>512</v>
      </c>
      <c r="C61" s="2">
        <v>769293</v>
      </c>
      <c r="D61" s="2">
        <f t="shared" si="12"/>
        <v>1502.525390625</v>
      </c>
      <c r="F61" s="1"/>
      <c r="K61" s="1" t="s">
        <v>18</v>
      </c>
      <c r="L61" s="2">
        <v>512</v>
      </c>
      <c r="M61" s="2">
        <v>387933</v>
      </c>
      <c r="N61" s="2">
        <f t="shared" si="13"/>
        <v>757.681640625</v>
      </c>
    </row>
    <row r="62" spans="1:14" x14ac:dyDescent="0.2">
      <c r="A62" s="1" t="s">
        <v>12</v>
      </c>
      <c r="B62" s="2">
        <v>1024</v>
      </c>
      <c r="C62" s="2">
        <v>1525069</v>
      </c>
      <c r="D62" s="2">
        <f t="shared" si="12"/>
        <v>1489.3251953125</v>
      </c>
      <c r="F62" s="1"/>
      <c r="K62" s="1" t="s">
        <v>18</v>
      </c>
      <c r="L62" s="2">
        <v>1024</v>
      </c>
      <c r="M62" s="2">
        <v>766461</v>
      </c>
      <c r="N62" s="2">
        <f t="shared" si="13"/>
        <v>748.4970703125</v>
      </c>
    </row>
    <row r="63" spans="1:14" x14ac:dyDescent="0.2">
      <c r="A63" s="1" t="s">
        <v>12</v>
      </c>
      <c r="B63" s="2">
        <v>1500</v>
      </c>
      <c r="C63" s="2">
        <v>2233626</v>
      </c>
      <c r="D63" s="2">
        <f t="shared" si="12"/>
        <v>1489.0840000000001</v>
      </c>
      <c r="F63" s="1"/>
      <c r="K63" s="1" t="s">
        <v>18</v>
      </c>
      <c r="L63" s="2">
        <v>1500</v>
      </c>
      <c r="M63" s="2">
        <v>1121394</v>
      </c>
      <c r="N63" s="2">
        <f t="shared" si="13"/>
        <v>747.596</v>
      </c>
    </row>
    <row r="66" spans="1:14" ht="42.75" x14ac:dyDescent="0.2">
      <c r="A66" s="1" t="s">
        <v>0</v>
      </c>
      <c r="B66" s="1" t="s">
        <v>1</v>
      </c>
      <c r="C66" s="4" t="s">
        <v>3</v>
      </c>
      <c r="D66" s="3" t="s">
        <v>15</v>
      </c>
      <c r="F66" s="1"/>
      <c r="G66" s="1"/>
      <c r="H66" s="4"/>
      <c r="I66" s="3"/>
      <c r="K66" s="1" t="s">
        <v>0</v>
      </c>
      <c r="L66" s="1" t="s">
        <v>1</v>
      </c>
      <c r="M66" s="4" t="s">
        <v>3</v>
      </c>
      <c r="N66" s="3" t="s">
        <v>15</v>
      </c>
    </row>
    <row r="67" spans="1:14" x14ac:dyDescent="0.2">
      <c r="A67" s="1" t="s">
        <v>13</v>
      </c>
      <c r="B67" s="2">
        <v>8</v>
      </c>
      <c r="C67" s="2">
        <v>19475.27</v>
      </c>
      <c r="D67" s="2">
        <f>C67/B67</f>
        <v>2434.4087500000001</v>
      </c>
      <c r="F67" s="1"/>
      <c r="K67" s="1" t="s">
        <v>19</v>
      </c>
      <c r="L67" s="2">
        <v>8</v>
      </c>
      <c r="M67" s="2">
        <v>27770</v>
      </c>
      <c r="N67" s="2">
        <f>M67/L67</f>
        <v>3471.25</v>
      </c>
    </row>
    <row r="68" spans="1:14" x14ac:dyDescent="0.2">
      <c r="A68" s="1" t="s">
        <v>13</v>
      </c>
      <c r="B68" s="2">
        <v>16</v>
      </c>
      <c r="C68" s="2">
        <v>17978</v>
      </c>
      <c r="D68" s="2">
        <f t="shared" ref="D68:D75" si="14">C68/B68</f>
        <v>1123.625</v>
      </c>
      <c r="F68" s="1"/>
      <c r="K68" s="1" t="s">
        <v>19</v>
      </c>
      <c r="L68" s="2">
        <v>16</v>
      </c>
      <c r="M68" s="2">
        <v>27709</v>
      </c>
      <c r="N68" s="2">
        <f t="shared" ref="N68:N75" si="15">M68/L68</f>
        <v>1731.8125</v>
      </c>
    </row>
    <row r="69" spans="1:14" x14ac:dyDescent="0.2">
      <c r="A69" s="1" t="s">
        <v>13</v>
      </c>
      <c r="B69" s="2">
        <v>32</v>
      </c>
      <c r="C69" s="2">
        <v>29847</v>
      </c>
      <c r="D69" s="2">
        <f t="shared" si="14"/>
        <v>932.71875</v>
      </c>
      <c r="F69" s="1"/>
      <c r="K69" s="1" t="s">
        <v>19</v>
      </c>
      <c r="L69" s="2">
        <v>32</v>
      </c>
      <c r="M69" s="2">
        <v>43209</v>
      </c>
      <c r="N69" s="2">
        <f t="shared" si="15"/>
        <v>1350.28125</v>
      </c>
    </row>
    <row r="70" spans="1:14" x14ac:dyDescent="0.2">
      <c r="A70" s="1" t="s">
        <v>13</v>
      </c>
      <c r="B70" s="2">
        <v>64</v>
      </c>
      <c r="C70" s="2">
        <v>53570</v>
      </c>
      <c r="D70" s="2">
        <f t="shared" si="14"/>
        <v>837.03125</v>
      </c>
      <c r="F70" s="1"/>
      <c r="K70" s="1" t="s">
        <v>19</v>
      </c>
      <c r="L70" s="2">
        <v>64</v>
      </c>
      <c r="M70" s="2">
        <v>74185</v>
      </c>
      <c r="N70" s="2">
        <f t="shared" si="15"/>
        <v>1159.140625</v>
      </c>
    </row>
    <row r="71" spans="1:14" x14ac:dyDescent="0.2">
      <c r="A71" s="1" t="s">
        <v>13</v>
      </c>
      <c r="B71" s="2">
        <v>128</v>
      </c>
      <c r="C71" s="2">
        <v>102924</v>
      </c>
      <c r="D71" s="2">
        <f t="shared" si="14"/>
        <v>804.09375</v>
      </c>
      <c r="F71" s="1"/>
      <c r="K71" s="1" t="s">
        <v>19</v>
      </c>
      <c r="L71" s="2">
        <v>128</v>
      </c>
      <c r="M71" s="2">
        <v>136129</v>
      </c>
      <c r="N71" s="2">
        <f t="shared" si="15"/>
        <v>1063.5078125</v>
      </c>
    </row>
    <row r="72" spans="1:14" x14ac:dyDescent="0.2">
      <c r="A72" s="1" t="s">
        <v>13</v>
      </c>
      <c r="B72" s="2">
        <v>256</v>
      </c>
      <c r="C72" s="2">
        <v>201334</v>
      </c>
      <c r="D72" s="2">
        <f t="shared" si="14"/>
        <v>786.4609375</v>
      </c>
      <c r="F72" s="1"/>
      <c r="K72" s="1" t="s">
        <v>19</v>
      </c>
      <c r="L72" s="2">
        <v>256</v>
      </c>
      <c r="M72" s="2">
        <v>260017</v>
      </c>
      <c r="N72" s="2">
        <f t="shared" si="15"/>
        <v>1015.69140625</v>
      </c>
    </row>
    <row r="73" spans="1:14" x14ac:dyDescent="0.2">
      <c r="A73" s="1" t="s">
        <v>13</v>
      </c>
      <c r="B73" s="2">
        <v>512</v>
      </c>
      <c r="C73" s="2">
        <v>398154</v>
      </c>
      <c r="D73" s="2">
        <f>C73/B73</f>
        <v>777.64453125</v>
      </c>
      <c r="F73" s="1"/>
      <c r="K73" s="1" t="s">
        <v>19</v>
      </c>
      <c r="L73" s="2">
        <v>512</v>
      </c>
      <c r="M73" s="2">
        <v>507793</v>
      </c>
      <c r="N73" s="2">
        <f t="shared" si="15"/>
        <v>991.783203125</v>
      </c>
    </row>
    <row r="74" spans="1:14" x14ac:dyDescent="0.2">
      <c r="A74" s="1" t="s">
        <v>13</v>
      </c>
      <c r="B74" s="2">
        <v>1024</v>
      </c>
      <c r="C74" s="2">
        <v>791794</v>
      </c>
      <c r="D74" s="2">
        <f>C74/B74</f>
        <v>773.236328125</v>
      </c>
      <c r="F74" s="1"/>
      <c r="K74" s="1" t="s">
        <v>19</v>
      </c>
      <c r="L74" s="2">
        <v>1024</v>
      </c>
      <c r="M74" s="2">
        <v>1003345</v>
      </c>
      <c r="N74" s="2">
        <f t="shared" si="15"/>
        <v>979.8291015625</v>
      </c>
    </row>
    <row r="75" spans="1:14" x14ac:dyDescent="0.2">
      <c r="A75" s="1" t="s">
        <v>13</v>
      </c>
      <c r="B75" s="2">
        <v>1500</v>
      </c>
      <c r="C75" s="2">
        <v>1161652</v>
      </c>
      <c r="D75" s="2">
        <f t="shared" si="14"/>
        <v>774.43466666666666</v>
      </c>
      <c r="F75" s="1"/>
      <c r="K75" s="1" t="s">
        <v>19</v>
      </c>
      <c r="L75" s="2">
        <v>1500</v>
      </c>
      <c r="M75" s="2">
        <v>1467986</v>
      </c>
      <c r="N75" s="2">
        <f t="shared" si="15"/>
        <v>978.65733333333333</v>
      </c>
    </row>
    <row r="80" spans="1:14" x14ac:dyDescent="0.2">
      <c r="A80" s="1"/>
      <c r="B80" s="1"/>
      <c r="C80" s="4"/>
      <c r="D80" s="3"/>
      <c r="E80" s="1"/>
      <c r="F80" s="1"/>
      <c r="G80" s="1"/>
      <c r="H80" s="4"/>
      <c r="I80" s="3"/>
      <c r="K80" s="1"/>
      <c r="L80" s="1"/>
      <c r="M80" s="4"/>
      <c r="N80" s="3"/>
    </row>
    <row r="81" spans="1:14" x14ac:dyDescent="0.2">
      <c r="A81" s="1"/>
      <c r="F81" s="1"/>
      <c r="K81" s="1"/>
    </row>
    <row r="82" spans="1:14" x14ac:dyDescent="0.2">
      <c r="A82" s="1"/>
      <c r="F82" s="1"/>
      <c r="K82" s="1"/>
    </row>
    <row r="83" spans="1:14" x14ac:dyDescent="0.2">
      <c r="A83" s="1"/>
      <c r="F83" s="1"/>
      <c r="K83" s="1"/>
    </row>
    <row r="84" spans="1:14" x14ac:dyDescent="0.2">
      <c r="A84" s="1"/>
      <c r="F84" s="1"/>
      <c r="K84" s="1"/>
    </row>
    <row r="85" spans="1:14" x14ac:dyDescent="0.2">
      <c r="A85" s="1"/>
      <c r="F85" s="1"/>
      <c r="K85" s="1"/>
    </row>
    <row r="86" spans="1:14" x14ac:dyDescent="0.2">
      <c r="A86" s="1"/>
      <c r="F86" s="1"/>
      <c r="K86" s="1"/>
    </row>
    <row r="87" spans="1:14" x14ac:dyDescent="0.2">
      <c r="A87" s="1"/>
      <c r="F87" s="1"/>
      <c r="K87" s="1"/>
    </row>
    <row r="88" spans="1:14" x14ac:dyDescent="0.2">
      <c r="A88" s="1"/>
      <c r="F88" s="1"/>
      <c r="K88" s="1"/>
    </row>
    <row r="89" spans="1:14" x14ac:dyDescent="0.2">
      <c r="A89" s="1"/>
      <c r="F89" s="1"/>
      <c r="K89" s="1"/>
    </row>
    <row r="92" spans="1:14" x14ac:dyDescent="0.2">
      <c r="A92" s="1"/>
      <c r="B92" s="1"/>
      <c r="C92" s="4"/>
      <c r="D92" s="3"/>
      <c r="F92" s="1"/>
      <c r="G92" s="1"/>
      <c r="H92" s="4"/>
      <c r="I92" s="3"/>
      <c r="K92" s="1"/>
      <c r="L92" s="1"/>
      <c r="M92" s="4"/>
      <c r="N92" s="3"/>
    </row>
    <row r="93" spans="1:14" x14ac:dyDescent="0.2">
      <c r="A93" s="1"/>
      <c r="F93" s="1"/>
      <c r="K93" s="1"/>
    </row>
    <row r="94" spans="1:14" x14ac:dyDescent="0.2">
      <c r="A94" s="1"/>
      <c r="F94" s="1"/>
      <c r="K94" s="1"/>
    </row>
    <row r="95" spans="1:14" x14ac:dyDescent="0.2">
      <c r="A95" s="1"/>
      <c r="F95" s="1"/>
      <c r="K95" s="1"/>
    </row>
    <row r="96" spans="1:14" x14ac:dyDescent="0.2">
      <c r="A96" s="1"/>
      <c r="F96" s="1"/>
      <c r="K96" s="1"/>
    </row>
    <row r="97" spans="1:11" x14ac:dyDescent="0.2">
      <c r="A97" s="1"/>
      <c r="F97" s="1"/>
      <c r="K97" s="1"/>
    </row>
    <row r="98" spans="1:11" x14ac:dyDescent="0.2">
      <c r="A98" s="1"/>
      <c r="F98" s="1"/>
      <c r="K98" s="1"/>
    </row>
    <row r="99" spans="1:11" x14ac:dyDescent="0.2">
      <c r="A99" s="1"/>
      <c r="F99" s="1"/>
      <c r="K99" s="1"/>
    </row>
    <row r="100" spans="1:11" x14ac:dyDescent="0.2">
      <c r="A100" s="1"/>
      <c r="F100" s="1"/>
      <c r="K100" s="1"/>
    </row>
    <row r="101" spans="1:11" x14ac:dyDescent="0.2">
      <c r="A101" s="1"/>
      <c r="F101" s="1"/>
      <c r="K101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2025-08-15T01:19:57Z</dcterms:modified>
</cp:coreProperties>
</file>